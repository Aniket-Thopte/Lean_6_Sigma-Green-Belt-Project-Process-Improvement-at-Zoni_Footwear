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SGI-CLSSGB\0.PROJECT\Project Files\"/>
    </mc:Choice>
  </mc:AlternateContent>
  <xr:revisionPtr revIDLastSave="0" documentId="13_ncr:1_{19F1D987-1ACE-4D6B-B124-561C201D64E8}" xr6:coauthVersionLast="45" xr6:coauthVersionMax="45" xr10:uidLastSave="{00000000-0000-0000-0000-000000000000}"/>
  <bookViews>
    <workbookView xWindow="-120" yWindow="-120" windowWidth="20730" windowHeight="11310" xr2:uid="{1B151DB5-1593-438B-B171-FE76453C6D06}"/>
  </bookViews>
  <sheets>
    <sheet name="X_Bar Chart" sheetId="5" r:id="rId1"/>
  </sheets>
  <definedNames>
    <definedName name="OLE_LINK1" localSheetId="0">'X_Bar Chart'!$A$48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2" i="5" l="1"/>
  <c r="E22" i="5"/>
  <c r="D22" i="5"/>
  <c r="C22" i="5"/>
  <c r="B22" i="5"/>
  <c r="B23" i="5" l="1"/>
  <c r="C24" i="5"/>
  <c r="D24" i="5"/>
  <c r="E24" i="5"/>
  <c r="F24" i="5"/>
  <c r="B24" i="5"/>
  <c r="B25" i="5" l="1"/>
  <c r="B30" i="5" l="1"/>
  <c r="B29" i="5"/>
  <c r="B28" i="5"/>
</calcChain>
</file>

<file path=xl/sharedStrings.xml><?xml version="1.0" encoding="utf-8"?>
<sst xmlns="http://schemas.openxmlformats.org/spreadsheetml/2006/main" count="16" uniqueCount="16">
  <si>
    <t>Observation</t>
  </si>
  <si>
    <t>The Lower Control Limit</t>
  </si>
  <si>
    <t>The Upper Control Limit</t>
  </si>
  <si>
    <t>Mean</t>
  </si>
  <si>
    <t>The centerline or target</t>
  </si>
  <si>
    <t>Sample</t>
  </si>
  <si>
    <t>Size</t>
  </si>
  <si>
    <t>Value</t>
  </si>
  <si>
    <t>Enter Sample Size. Between 12 and 25.</t>
  </si>
  <si>
    <r>
      <t>A</t>
    </r>
    <r>
      <rPr>
        <vertAlign val="subscript"/>
        <sz val="11"/>
        <color theme="1"/>
        <rFont val="Calibri"/>
        <family val="2"/>
        <scheme val="minor"/>
      </rPr>
      <t>3</t>
    </r>
  </si>
  <si>
    <t>Standard Deviation</t>
  </si>
  <si>
    <t>Average Standard Deviation</t>
  </si>
  <si>
    <t>Grand mean</t>
  </si>
  <si>
    <t>X-Bar Charts: Upper and Lower Control Lmits for Sample Sizes 12 to 25</t>
  </si>
  <si>
    <t>Samples</t>
  </si>
  <si>
    <t>Preliminary Samples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</si>
</sst>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2" fontId="1" fillId="0" borderId="0" xfId="0" applyNumberFormat="1" applyFont="1" applyProtection="1">
      <protection locked="0"/>
    </xf>
    <xf numFmtId="0" fontId="3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5" fillId="0" borderId="0" xfId="0" applyFont="1" applyAlignment="1">
      <alignment vertical="center"/>
    </xf>
    <xf numFmtId="0" fontId="1" fillId="0" borderId="1" xfId="0" applyFont="1" applyBorder="1" applyAlignment="1" applyProtection="1">
      <alignment horizontal="center"/>
    </xf>
    <xf numFmtId="0" fontId="3" fillId="2" borderId="1" xfId="0" applyFont="1" applyFill="1" applyBorder="1" applyProtection="1">
      <protection locked="0"/>
    </xf>
    <xf numFmtId="0" fontId="7" fillId="2" borderId="1" xfId="0" applyFont="1" applyFill="1" applyBorder="1" applyProtection="1"/>
    <xf numFmtId="0" fontId="0" fillId="0" borderId="1" xfId="0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6" fillId="4" borderId="1" xfId="0" applyNumberFormat="1" applyFont="1" applyFill="1" applyBorder="1" applyAlignment="1" applyProtection="1">
      <alignment horizontal="center"/>
    </xf>
    <xf numFmtId="164" fontId="0" fillId="0" borderId="0" xfId="0" applyNumberForma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26</xdr:row>
      <xdr:rowOff>66675</xdr:rowOff>
    </xdr:from>
    <xdr:to>
      <xdr:col>8</xdr:col>
      <xdr:colOff>114300</xdr:colOff>
      <xdr:row>30</xdr:row>
      <xdr:rowOff>104775</xdr:rowOff>
    </xdr:to>
    <xdr:sp macro="[0]!ClearSheetC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AFD491-EC9A-4C2D-962F-91E616297568}"/>
            </a:ext>
          </a:extLst>
        </xdr:cNvPr>
        <xdr:cNvSpPr/>
      </xdr:nvSpPr>
      <xdr:spPr>
        <a:xfrm>
          <a:off x="5210175" y="5172075"/>
          <a:ext cx="942975" cy="828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Clear</a:t>
          </a:r>
        </a:p>
        <a:p>
          <a:pPr algn="ctr"/>
          <a:r>
            <a:rPr lang="en-US" sz="1800"/>
            <a:t>Sheet</a:t>
          </a:r>
          <a:r>
            <a:rPr lang="en-US" sz="1800" baseline="0"/>
            <a:t> </a:t>
          </a:r>
          <a:endParaRPr lang="en-US" sz="1800"/>
        </a:p>
      </xdr:txBody>
    </xdr:sp>
    <xdr:clientData/>
  </xdr:twoCellAnchor>
  <xdr:twoCellAnchor>
    <xdr:from>
      <xdr:col>0</xdr:col>
      <xdr:colOff>38100</xdr:colOff>
      <xdr:row>1</xdr:row>
      <xdr:rowOff>85725</xdr:rowOff>
    </xdr:from>
    <xdr:to>
      <xdr:col>9</xdr:col>
      <xdr:colOff>600075</xdr:colOff>
      <xdr:row>4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6B38D5C-4A90-40BE-B9A4-009373802E7A}"/>
            </a:ext>
          </a:extLst>
        </xdr:cNvPr>
        <xdr:cNvSpPr txBox="1"/>
      </xdr:nvSpPr>
      <xdr:spPr>
        <a:xfrm>
          <a:off x="38100" y="419100"/>
          <a:ext cx="7315200" cy="5524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Preliminary samples are taken, and the results of each observation entered into the table below.  The remaining calculations are automatically performed.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13427-57C0-4F3E-8D18-312AF20517F0}">
  <sheetPr codeName="Sheet3"/>
  <dimension ref="A1:K48"/>
  <sheetViews>
    <sheetView showGridLines="0" showRowColHeaders="0" tabSelected="1" topLeftCell="A17" workbookViewId="0">
      <selection activeCell="A31" sqref="A31"/>
    </sheetView>
  </sheetViews>
  <sheetFormatPr defaultRowHeight="15" x14ac:dyDescent="0.25"/>
  <cols>
    <col min="1" max="1" width="27.7109375" style="3" customWidth="1"/>
    <col min="2" max="2" width="9.5703125" style="3" customWidth="1"/>
    <col min="3" max="16384" width="9.140625" style="3"/>
  </cols>
  <sheetData>
    <row r="1" spans="1:11" ht="26.25" x14ac:dyDescent="0.4">
      <c r="A1" s="1" t="s">
        <v>13</v>
      </c>
      <c r="B1" s="2"/>
      <c r="C1" s="2"/>
      <c r="D1" s="2"/>
      <c r="E1" s="2"/>
      <c r="F1" s="2"/>
      <c r="G1" s="2"/>
      <c r="H1" s="2"/>
      <c r="I1" s="2"/>
      <c r="J1" s="2"/>
    </row>
    <row r="7" spans="1:11" x14ac:dyDescent="0.25">
      <c r="A7" s="11" t="s">
        <v>8</v>
      </c>
      <c r="B7" s="11"/>
      <c r="C7" s="4">
        <v>25</v>
      </c>
    </row>
    <row r="10" spans="1:11" x14ac:dyDescent="0.25">
      <c r="A10" s="11" t="s">
        <v>15</v>
      </c>
      <c r="D10" s="3" t="s">
        <v>14</v>
      </c>
    </row>
    <row r="11" spans="1:11" x14ac:dyDescent="0.25">
      <c r="A11" s="16" t="s">
        <v>0</v>
      </c>
      <c r="B11" s="13">
        <v>1</v>
      </c>
      <c r="C11" s="13">
        <v>2</v>
      </c>
      <c r="D11" s="13">
        <v>3</v>
      </c>
      <c r="E11" s="13">
        <v>4</v>
      </c>
      <c r="F11" s="13">
        <v>5</v>
      </c>
      <c r="G11" s="5"/>
      <c r="H11" s="5"/>
      <c r="I11" s="5"/>
      <c r="J11" s="5"/>
      <c r="K11" s="5"/>
    </row>
    <row r="12" spans="1:11" x14ac:dyDescent="0.25">
      <c r="A12" s="16">
        <v>1</v>
      </c>
      <c r="B12" s="17">
        <v>8.5</v>
      </c>
      <c r="C12" s="17">
        <v>8</v>
      </c>
      <c r="D12" s="17">
        <v>8.6</v>
      </c>
      <c r="E12" s="17">
        <v>8.9</v>
      </c>
      <c r="F12" s="17">
        <v>8.6</v>
      </c>
      <c r="G12" s="6"/>
      <c r="H12" s="6"/>
      <c r="I12" s="6"/>
      <c r="J12" s="6"/>
      <c r="K12" s="6"/>
    </row>
    <row r="13" spans="1:11" x14ac:dyDescent="0.25">
      <c r="A13" s="16">
        <v>2</v>
      </c>
      <c r="B13" s="17">
        <v>8.1</v>
      </c>
      <c r="C13" s="17">
        <v>9.3000000000000007</v>
      </c>
      <c r="D13" s="17">
        <v>8.8000000000000007</v>
      </c>
      <c r="E13" s="17">
        <v>9.1</v>
      </c>
      <c r="F13" s="17">
        <v>8.3000000000000007</v>
      </c>
      <c r="G13" s="6"/>
      <c r="H13" s="6"/>
      <c r="I13" s="6"/>
      <c r="J13" s="6"/>
      <c r="K13" s="6"/>
    </row>
    <row r="14" spans="1:11" x14ac:dyDescent="0.25">
      <c r="A14" s="16">
        <v>3</v>
      </c>
      <c r="B14" s="17">
        <v>9.4</v>
      </c>
      <c r="C14" s="17">
        <v>8.8000000000000007</v>
      </c>
      <c r="D14" s="17">
        <v>8.6999999999999993</v>
      </c>
      <c r="E14" s="17">
        <v>9.1</v>
      </c>
      <c r="F14" s="17">
        <v>9.1</v>
      </c>
      <c r="G14" s="6"/>
      <c r="H14" s="6"/>
      <c r="I14" s="6"/>
      <c r="J14" s="6"/>
      <c r="K14" s="6"/>
    </row>
    <row r="15" spans="1:11" x14ac:dyDescent="0.25">
      <c r="A15" s="16">
        <v>4</v>
      </c>
      <c r="B15" s="17">
        <v>7.9</v>
      </c>
      <c r="C15" s="17">
        <v>8.5</v>
      </c>
      <c r="D15" s="17">
        <v>9.1999999999999993</v>
      </c>
      <c r="E15" s="17">
        <v>8.1</v>
      </c>
      <c r="F15" s="17">
        <v>8.4</v>
      </c>
      <c r="G15" s="6"/>
      <c r="H15" s="6"/>
      <c r="I15" s="6"/>
    </row>
    <row r="16" spans="1:11" x14ac:dyDescent="0.25">
      <c r="A16" s="16">
        <v>5</v>
      </c>
      <c r="B16" s="17">
        <v>8.8000000000000007</v>
      </c>
      <c r="C16" s="17">
        <v>9.1999999999999993</v>
      </c>
      <c r="D16" s="17">
        <v>9.1</v>
      </c>
      <c r="E16" s="17">
        <v>7.9</v>
      </c>
      <c r="F16" s="17">
        <v>8.8000000000000007</v>
      </c>
      <c r="G16" s="6"/>
      <c r="H16" s="6"/>
      <c r="I16" s="6"/>
    </row>
    <row r="17" spans="1:11" x14ac:dyDescent="0.25">
      <c r="A17" s="16">
        <v>6</v>
      </c>
      <c r="B17" s="17">
        <v>8.3000000000000007</v>
      </c>
      <c r="C17" s="17">
        <v>9.1</v>
      </c>
      <c r="D17" s="17">
        <v>8.8000000000000007</v>
      </c>
      <c r="E17" s="17">
        <v>8.5</v>
      </c>
      <c r="F17" s="17">
        <v>9.1999999999999993</v>
      </c>
      <c r="G17" s="6"/>
      <c r="H17" s="6"/>
      <c r="I17" s="6"/>
    </row>
    <row r="18" spans="1:11" x14ac:dyDescent="0.25">
      <c r="A18" s="16">
        <v>7</v>
      </c>
      <c r="B18" s="17">
        <v>9.1999999999999993</v>
      </c>
      <c r="C18" s="17">
        <v>8.6999999999999993</v>
      </c>
      <c r="D18" s="17">
        <v>8.4</v>
      </c>
      <c r="E18" s="17">
        <v>9.1</v>
      </c>
      <c r="F18" s="17">
        <v>9.1999999999999993</v>
      </c>
      <c r="G18" s="6"/>
      <c r="H18" s="6"/>
      <c r="I18" s="6"/>
      <c r="J18" s="6"/>
      <c r="K18" s="6"/>
    </row>
    <row r="19" spans="1:11" x14ac:dyDescent="0.25">
      <c r="A19" s="16">
        <v>8</v>
      </c>
      <c r="B19" s="17">
        <v>8</v>
      </c>
      <c r="C19" s="17">
        <v>8.5</v>
      </c>
      <c r="D19" s="17">
        <v>8.6999999999999993</v>
      </c>
      <c r="E19" s="17">
        <v>8.1999999999999993</v>
      </c>
      <c r="F19" s="17">
        <v>8.4</v>
      </c>
      <c r="G19" s="6"/>
      <c r="H19" s="6"/>
      <c r="I19" s="6"/>
      <c r="J19" s="6"/>
      <c r="K19" s="6"/>
    </row>
    <row r="20" spans="1:11" x14ac:dyDescent="0.25">
      <c r="A20" s="16">
        <v>9</v>
      </c>
      <c r="B20" s="17">
        <v>8.8000000000000007</v>
      </c>
      <c r="C20" s="17">
        <v>9.3000000000000007</v>
      </c>
      <c r="D20" s="17">
        <v>8.8000000000000007</v>
      </c>
      <c r="E20" s="17">
        <v>8.4</v>
      </c>
      <c r="F20" s="17">
        <v>8.6</v>
      </c>
      <c r="G20" s="6"/>
      <c r="H20" s="6"/>
      <c r="I20" s="6"/>
      <c r="J20" s="6"/>
      <c r="K20" s="6"/>
    </row>
    <row r="21" spans="1:11" x14ac:dyDescent="0.25">
      <c r="A21" s="16">
        <v>10</v>
      </c>
      <c r="B21" s="17">
        <v>9.1</v>
      </c>
      <c r="C21" s="17">
        <v>8.8000000000000007</v>
      </c>
      <c r="D21" s="17">
        <v>7.2</v>
      </c>
      <c r="E21" s="17">
        <v>8.6999999999999993</v>
      </c>
      <c r="F21" s="17">
        <v>8.9</v>
      </c>
      <c r="G21" s="6"/>
      <c r="H21" s="6"/>
      <c r="I21" s="6"/>
      <c r="J21" s="6"/>
      <c r="K21" s="6"/>
    </row>
    <row r="22" spans="1:11" x14ac:dyDescent="0.25">
      <c r="A22" s="16" t="s">
        <v>3</v>
      </c>
      <c r="B22" s="18">
        <f>IF(B12="","",AVERAGE(B12:B21))</f>
        <v>8.61</v>
      </c>
      <c r="C22" s="18">
        <f>IF(C12="","",AVERAGE(C12:C21))</f>
        <v>8.8199999999999985</v>
      </c>
      <c r="D22" s="18">
        <f>IF(D12="","",AVERAGE(D12:D21))</f>
        <v>8.629999999999999</v>
      </c>
      <c r="E22" s="18">
        <f>IF(E12="","",AVERAGE(E12:E21))</f>
        <v>8.6000000000000014</v>
      </c>
      <c r="F22" s="18">
        <f>IF(F12="","",AVERAGE(F12:F21))</f>
        <v>8.7500000000000018</v>
      </c>
      <c r="G22" s="7"/>
      <c r="H22" s="7"/>
      <c r="I22" s="7"/>
      <c r="J22" s="7"/>
      <c r="K22" s="7"/>
    </row>
    <row r="23" spans="1:11" x14ac:dyDescent="0.25">
      <c r="A23" s="16" t="s">
        <v>12</v>
      </c>
      <c r="B23" s="19">
        <f>IF(B22="","",AVERAGE(B22:F22))</f>
        <v>8.6819999999999986</v>
      </c>
      <c r="C23" s="9"/>
      <c r="D23" s="9"/>
      <c r="E23" s="9"/>
      <c r="F23" s="9"/>
    </row>
    <row r="24" spans="1:11" x14ac:dyDescent="0.25">
      <c r="A24" s="16" t="s">
        <v>10</v>
      </c>
      <c r="B24" s="20">
        <f>IF(B13="","",STDEV(B12:B21))</f>
        <v>0.53009433122794281</v>
      </c>
      <c r="C24" s="20">
        <f t="shared" ref="C24:F24" si="0">IF(C13="","",STDEV(C12:C21))</f>
        <v>0.4184627953726725</v>
      </c>
      <c r="D24" s="20">
        <f t="shared" si="0"/>
        <v>0.55186552307202108</v>
      </c>
      <c r="E24" s="20">
        <f t="shared" si="0"/>
        <v>0.44721359549995787</v>
      </c>
      <c r="F24" s="20">
        <f t="shared" si="0"/>
        <v>0.34075080500434751</v>
      </c>
      <c r="G24" s="6"/>
      <c r="H24" s="6"/>
      <c r="I24" s="6"/>
      <c r="J24" s="6"/>
      <c r="K24" s="6"/>
    </row>
    <row r="25" spans="1:11" ht="15.75" x14ac:dyDescent="0.25">
      <c r="A25" s="16" t="s">
        <v>11</v>
      </c>
      <c r="B25" s="21">
        <f>IF(B13="","",AVERAGE(B24:F24))</f>
        <v>0.45767741003538837</v>
      </c>
      <c r="C25" s="22"/>
      <c r="D25" s="23"/>
      <c r="E25" s="9"/>
      <c r="F25" s="9"/>
    </row>
    <row r="28" spans="1:11" ht="15.75" x14ac:dyDescent="0.25">
      <c r="A28" s="14" t="s">
        <v>4</v>
      </c>
      <c r="B28" s="15">
        <f>B23</f>
        <v>8.6819999999999986</v>
      </c>
    </row>
    <row r="29" spans="1:11" ht="15.75" x14ac:dyDescent="0.25">
      <c r="A29" s="14" t="s">
        <v>2</v>
      </c>
      <c r="B29" s="15">
        <f>IF(B25="","",(B23+VLOOKUP(C7,B34:C47,2,FALSE)*B25))</f>
        <v>8.9593525104814447</v>
      </c>
      <c r="K29" s="8"/>
    </row>
    <row r="30" spans="1:11" ht="15.75" x14ac:dyDescent="0.25">
      <c r="A30" s="14" t="s">
        <v>1</v>
      </c>
      <c r="B30" s="15">
        <f>IF(B25="","",(B23-VLOOKUP(C7,B34:C47,2,FALSE)*B25))</f>
        <v>8.4046474895185526</v>
      </c>
    </row>
    <row r="32" spans="1:11" ht="18" hidden="1" x14ac:dyDescent="0.35">
      <c r="B32" s="9" t="s">
        <v>5</v>
      </c>
      <c r="C32" s="9" t="s">
        <v>9</v>
      </c>
    </row>
    <row r="33" spans="1:3" hidden="1" x14ac:dyDescent="0.25">
      <c r="B33" s="9" t="s">
        <v>6</v>
      </c>
      <c r="C33" s="9" t="s">
        <v>7</v>
      </c>
    </row>
    <row r="34" spans="1:3" hidden="1" x14ac:dyDescent="0.25">
      <c r="B34" s="3">
        <v>12</v>
      </c>
      <c r="C34" s="10">
        <v>0.88600000000000001</v>
      </c>
    </row>
    <row r="35" spans="1:3" hidden="1" x14ac:dyDescent="0.25">
      <c r="B35" s="3">
        <v>13</v>
      </c>
      <c r="C35" s="10">
        <v>0.85</v>
      </c>
    </row>
    <row r="36" spans="1:3" hidden="1" x14ac:dyDescent="0.25">
      <c r="B36" s="3">
        <v>14</v>
      </c>
      <c r="C36" s="10">
        <v>0.81699999999999995</v>
      </c>
    </row>
    <row r="37" spans="1:3" hidden="1" x14ac:dyDescent="0.25">
      <c r="B37" s="3">
        <v>15</v>
      </c>
      <c r="C37" s="10">
        <v>0.78900000000000003</v>
      </c>
    </row>
    <row r="38" spans="1:3" hidden="1" x14ac:dyDescent="0.25">
      <c r="B38" s="3">
        <v>16</v>
      </c>
      <c r="C38" s="10">
        <v>0.76300000000000001</v>
      </c>
    </row>
    <row r="39" spans="1:3" hidden="1" x14ac:dyDescent="0.25">
      <c r="B39" s="3">
        <v>17</v>
      </c>
      <c r="C39" s="10">
        <v>0.73899999999999999</v>
      </c>
    </row>
    <row r="40" spans="1:3" hidden="1" x14ac:dyDescent="0.25">
      <c r="B40" s="3">
        <v>18</v>
      </c>
      <c r="C40" s="10">
        <v>0.71799999999999997</v>
      </c>
    </row>
    <row r="41" spans="1:3" hidden="1" x14ac:dyDescent="0.25">
      <c r="B41" s="3">
        <v>19</v>
      </c>
      <c r="C41" s="10">
        <v>0.69799999999999995</v>
      </c>
    </row>
    <row r="42" spans="1:3" hidden="1" x14ac:dyDescent="0.25">
      <c r="B42" s="3">
        <v>20</v>
      </c>
      <c r="C42" s="10">
        <v>0.68</v>
      </c>
    </row>
    <row r="43" spans="1:3" hidden="1" x14ac:dyDescent="0.25">
      <c r="B43" s="3">
        <v>21</v>
      </c>
      <c r="C43" s="10">
        <v>0.66300000000000003</v>
      </c>
    </row>
    <row r="44" spans="1:3" hidden="1" x14ac:dyDescent="0.25">
      <c r="B44" s="3">
        <v>22</v>
      </c>
      <c r="C44" s="10">
        <v>0.64700000000000002</v>
      </c>
    </row>
    <row r="45" spans="1:3" hidden="1" x14ac:dyDescent="0.25">
      <c r="B45" s="3">
        <v>23</v>
      </c>
      <c r="C45" s="10">
        <v>0.63300000000000001</v>
      </c>
    </row>
    <row r="46" spans="1:3" hidden="1" x14ac:dyDescent="0.25">
      <c r="B46" s="3">
        <v>24</v>
      </c>
      <c r="C46" s="10">
        <v>0.61899999999999999</v>
      </c>
    </row>
    <row r="47" spans="1:3" hidden="1" x14ac:dyDescent="0.25">
      <c r="B47" s="3">
        <v>25</v>
      </c>
      <c r="C47" s="10">
        <v>0.60599999999999998</v>
      </c>
    </row>
    <row r="48" spans="1:3" x14ac:dyDescent="0.25">
      <c r="A48" s="12"/>
    </row>
  </sheetData>
  <sheetProtection selectLockedCells="1"/>
  <pageMargins left="0.7" right="0.7" top="0.75" bottom="0.75" header="0.3" footer="0.3"/>
  <pageSetup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X_Bar Chart</vt:lpstr>
      <vt:lpstr>'X_Bar Chart'!OLE_LINK1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bshore</dc:creator>
  <cp:lastModifiedBy>Raj Thopte</cp:lastModifiedBy>
  <cp:lastPrinted>2018-04-24T13:28:31Z</cp:lastPrinted>
  <dcterms:created xsi:type="dcterms:W3CDTF">2018-03-31T20:56:50Z</dcterms:created>
  <dcterms:modified xsi:type="dcterms:W3CDTF">2021-01-21T19:33:37Z</dcterms:modified>
</cp:coreProperties>
</file>