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E:\SSGI-CLSSGB\0.PROJECT\Project Files\"/>
    </mc:Choice>
  </mc:AlternateContent>
  <xr:revisionPtr revIDLastSave="0" documentId="8_{92BBD625-EC90-42C7-8F50-DB1946F43CD2}" xr6:coauthVersionLast="45" xr6:coauthVersionMax="45" xr10:uidLastSave="{00000000-0000-0000-0000-000000000000}"/>
  <bookViews>
    <workbookView xWindow="-120" yWindow="-120" windowWidth="20730" windowHeight="11310" xr2:uid="{9B1E9C29-E769-43FD-AE58-12316D8F7534}"/>
  </bookViews>
  <sheets>
    <sheet name="X-Y Matrix" sheetId="5"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42" i="5" l="1"/>
  <c r="C16" i="5"/>
  <c r="F21" i="5" l="1"/>
  <c r="F22" i="5"/>
  <c r="F23" i="5"/>
  <c r="F20" i="5"/>
  <c r="E32" i="5"/>
  <c r="E33" i="5"/>
  <c r="F16" i="5" l="1"/>
  <c r="F17" i="5"/>
  <c r="F18" i="5"/>
  <c r="F19" i="5"/>
  <c r="G45" i="5" l="1"/>
  <c r="F45" i="5"/>
  <c r="E45" i="5"/>
  <c r="D45" i="5"/>
  <c r="C45" i="5"/>
  <c r="G44" i="5"/>
  <c r="F44" i="5"/>
  <c r="E44" i="5"/>
  <c r="D44" i="5"/>
  <c r="C44" i="5"/>
  <c r="G43" i="5"/>
  <c r="F43" i="5"/>
  <c r="E43" i="5"/>
  <c r="D43" i="5"/>
  <c r="C43" i="5"/>
  <c r="G42" i="5"/>
  <c r="F42" i="5"/>
  <c r="E42" i="5"/>
  <c r="D42" i="5"/>
  <c r="C42" i="5"/>
  <c r="G41" i="5"/>
  <c r="F41" i="5"/>
  <c r="E41" i="5"/>
  <c r="D41" i="5"/>
  <c r="G38" i="5"/>
  <c r="F38" i="5"/>
  <c r="E38" i="5"/>
  <c r="D38" i="5"/>
  <c r="E31" i="5"/>
  <c r="E30" i="5"/>
  <c r="G23" i="5"/>
  <c r="C23" i="5"/>
  <c r="B23" i="5"/>
  <c r="G22" i="5"/>
  <c r="C22" i="5"/>
  <c r="B22" i="5"/>
  <c r="G21" i="5"/>
  <c r="C21" i="5"/>
  <c r="B21" i="5"/>
  <c r="G20" i="5"/>
  <c r="C20" i="5"/>
  <c r="B20" i="5"/>
  <c r="G19" i="5"/>
  <c r="C19" i="5"/>
  <c r="B19" i="5"/>
  <c r="G18" i="5"/>
  <c r="C18" i="5"/>
  <c r="B18" i="5"/>
  <c r="G17" i="5"/>
  <c r="C17" i="5"/>
  <c r="B17" i="5"/>
  <c r="G16" i="5"/>
  <c r="B16" i="5"/>
  <c r="H43" i="5" l="1"/>
  <c r="H45" i="5"/>
  <c r="H44" i="5"/>
</calcChain>
</file>

<file path=xl/sharedStrings.xml><?xml version="1.0" encoding="utf-8"?>
<sst xmlns="http://schemas.openxmlformats.org/spreadsheetml/2006/main" count="30" uniqueCount="27">
  <si>
    <t>X-Y Matrix</t>
  </si>
  <si>
    <t>INPUTS (X)</t>
  </si>
  <si>
    <t>OUTPUTS (Y)</t>
  </si>
  <si>
    <t>Input 1</t>
  </si>
  <si>
    <t>Input 2</t>
  </si>
  <si>
    <t>Input 4</t>
  </si>
  <si>
    <t>Input 3</t>
  </si>
  <si>
    <t>Output 1</t>
  </si>
  <si>
    <t>Output 2</t>
  </si>
  <si>
    <t>Output 3</t>
  </si>
  <si>
    <t>Output 4</t>
  </si>
  <si>
    <t>Input</t>
  </si>
  <si>
    <t>Output</t>
  </si>
  <si>
    <t>Impact</t>
  </si>
  <si>
    <t>Total</t>
  </si>
  <si>
    <t>Importance</t>
  </si>
  <si>
    <t>Returns</t>
  </si>
  <si>
    <t>Inputs</t>
  </si>
  <si>
    <t>Outputs</t>
  </si>
  <si>
    <t xml:space="preserve">     LEVEL OF IMPORTANCE</t>
  </si>
  <si>
    <t>Materials</t>
  </si>
  <si>
    <t>Bonding</t>
  </si>
  <si>
    <t>Stitching</t>
  </si>
  <si>
    <t>Satisfaction</t>
  </si>
  <si>
    <t>Image</t>
  </si>
  <si>
    <t>-</t>
  </si>
  <si>
    <t>Return 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</si>
</sst>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20"/>
      <color theme="1"/>
      <name val="Calibri"/>
      <family val="2"/>
      <scheme val="minor"/>
    </font>
    <font>
      <sz val="8"/>
      <color theme="1"/>
      <name val="Calibri"/>
      <family val="2"/>
      <scheme val="minor"/>
    </font>
    <font>
      <b/>
      <sz val="12"/>
      <color theme="1"/>
      <name val="Calibri"/>
      <family val="2"/>
      <scheme val="minor"/>
    </font>
  </fonts>
  <fills count="7">
    <fill>
      <patternFill patternType="none"/>
    </fill>
    <fill>
      <patternFill patternType="gray125"/>
    </fill>
    <fill>
      <patternFill patternType="solid">
        <fgColor theme="5" tint="0.79998168889431442"/>
        <bgColor indexed="64"/>
      </patternFill>
    </fill>
    <fill>
      <patternFill patternType="solid">
        <fgColor theme="7" tint="0.59999389629810485"/>
        <bgColor indexed="64"/>
      </patternFill>
    </fill>
    <fill>
      <patternFill patternType="solid">
        <fgColor rgb="FFFFCCFF"/>
        <bgColor indexed="64"/>
      </patternFill>
    </fill>
    <fill>
      <patternFill patternType="solid">
        <fgColor theme="9" tint="0.79998168889431442"/>
        <bgColor indexed="64"/>
      </patternFill>
    </fill>
    <fill>
      <patternFill patternType="solid">
        <fgColor rgb="FFFFFF0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3">
    <xf numFmtId="0" fontId="0" fillId="0" borderId="0" xfId="0"/>
    <xf numFmtId="0" fontId="0" fillId="0" borderId="0" xfId="0" applyProtection="1">
      <protection locked="0"/>
    </xf>
    <xf numFmtId="0" fontId="0" fillId="0" borderId="0" xfId="0" applyFill="1" applyProtection="1">
      <protection locked="0"/>
    </xf>
    <xf numFmtId="0" fontId="0" fillId="4" borderId="0" xfId="0" applyFill="1" applyProtection="1">
      <protection locked="0"/>
    </xf>
    <xf numFmtId="0" fontId="1" fillId="4" borderId="0" xfId="0" applyFont="1" applyFill="1" applyProtection="1">
      <protection locked="0"/>
    </xf>
    <xf numFmtId="0" fontId="1" fillId="0" borderId="0" xfId="0" applyFont="1" applyFill="1" applyProtection="1">
      <protection locked="0"/>
    </xf>
    <xf numFmtId="0" fontId="0" fillId="5" borderId="1" xfId="0" applyFill="1" applyBorder="1" applyProtection="1">
      <protection locked="0"/>
    </xf>
    <xf numFmtId="0" fontId="0" fillId="0" borderId="0" xfId="0" applyAlignment="1" applyProtection="1">
      <alignment horizontal="center"/>
      <protection locked="0"/>
    </xf>
    <xf numFmtId="0" fontId="0" fillId="5" borderId="1" xfId="0" applyFill="1" applyBorder="1" applyAlignment="1" applyProtection="1">
      <alignment horizontal="center"/>
      <protection locked="0"/>
    </xf>
    <xf numFmtId="0" fontId="0" fillId="0" borderId="1" xfId="0" applyBorder="1" applyProtection="1">
      <protection locked="0"/>
    </xf>
    <xf numFmtId="0" fontId="0" fillId="0" borderId="0" xfId="0" applyFill="1" applyBorder="1" applyAlignment="1" applyProtection="1">
      <alignment horizontal="center"/>
      <protection locked="0"/>
    </xf>
    <xf numFmtId="0" fontId="0" fillId="0" borderId="0" xfId="0" applyFill="1" applyBorder="1" applyProtection="1">
      <protection locked="0"/>
    </xf>
    <xf numFmtId="0" fontId="0" fillId="2" borderId="0" xfId="0" applyFill="1" applyProtection="1">
      <protection locked="0"/>
    </xf>
    <xf numFmtId="0" fontId="0" fillId="0" borderId="0" xfId="0" applyAlignment="1" applyProtection="1">
      <alignment horizontal="left"/>
      <protection locked="0"/>
    </xf>
    <xf numFmtId="0" fontId="0" fillId="4" borderId="1" xfId="0" applyFill="1" applyBorder="1" applyAlignment="1" applyProtection="1">
      <alignment horizontal="center"/>
    </xf>
    <xf numFmtId="0" fontId="0" fillId="3" borderId="1" xfId="0" applyFill="1" applyBorder="1" applyAlignment="1" applyProtection="1">
      <alignment horizontal="center"/>
    </xf>
    <xf numFmtId="0" fontId="0" fillId="0" borderId="0" xfId="0" applyFill="1" applyBorder="1" applyAlignment="1" applyProtection="1">
      <alignment horizontal="center"/>
    </xf>
    <xf numFmtId="0" fontId="0" fillId="4" borderId="0" xfId="0" applyFill="1" applyProtection="1"/>
    <xf numFmtId="0" fontId="0" fillId="4" borderId="0" xfId="0" applyFill="1" applyBorder="1" applyProtection="1"/>
    <xf numFmtId="0" fontId="0" fillId="0" borderId="0" xfId="0" applyAlignment="1" applyProtection="1">
      <alignment horizontal="center"/>
    </xf>
    <xf numFmtId="0" fontId="0" fillId="2" borderId="0" xfId="0" applyFill="1" applyProtection="1"/>
    <xf numFmtId="0" fontId="2" fillId="0" borderId="0" xfId="0" applyFont="1" applyAlignment="1">
      <alignment vertical="center"/>
    </xf>
    <xf numFmtId="0" fontId="3" fillId="6" borderId="0" xfId="0" applyFont="1" applyFill="1" applyBorder="1" applyAlignment="1" applyProtection="1">
      <alignment horizontal="center"/>
    </xf>
  </cellXfs>
  <cellStyles count="1">
    <cellStyle name="Normal" xfId="0" builtinId="0"/>
  </cellStyles>
  <dxfs count="0"/>
  <tableStyles count="0" defaultTableStyle="TableStyleMedium2" defaultPivotStyle="PivotStyleLight16"/>
  <colors>
    <mruColors>
      <color rgb="FFFFCC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4</xdr:col>
      <xdr:colOff>371475</xdr:colOff>
      <xdr:row>47</xdr:row>
      <xdr:rowOff>28574</xdr:rowOff>
    </xdr:from>
    <xdr:to>
      <xdr:col>6</xdr:col>
      <xdr:colOff>38100</xdr:colOff>
      <xdr:row>51</xdr:row>
      <xdr:rowOff>95249</xdr:rowOff>
    </xdr:to>
    <xdr:sp macro="[0]!ResetData" textlink="">
      <xdr:nvSpPr>
        <xdr:cNvPr id="2" name="Rectangle: Rounded Corners 1">
          <a:extLst>
            <a:ext uri="{FF2B5EF4-FFF2-40B4-BE49-F238E27FC236}">
              <a16:creationId xmlns:a16="http://schemas.microsoft.com/office/drawing/2014/main" id="{00000000-0008-0000-0200-000002000000}"/>
            </a:ext>
          </a:extLst>
        </xdr:cNvPr>
        <xdr:cNvSpPr/>
      </xdr:nvSpPr>
      <xdr:spPr>
        <a:xfrm>
          <a:off x="3838575" y="11601449"/>
          <a:ext cx="1438275" cy="828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t>Reset</a:t>
          </a:r>
        </a:p>
        <a:p>
          <a:pPr algn="ctr"/>
          <a:r>
            <a:rPr lang="en-US" sz="1400"/>
            <a:t>All</a:t>
          </a:r>
        </a:p>
        <a:p>
          <a:pPr algn="ctr"/>
          <a:r>
            <a:rPr lang="en-US" sz="1400"/>
            <a:t>Data</a:t>
          </a:r>
        </a:p>
      </xdr:txBody>
    </xdr:sp>
    <xdr:clientData/>
  </xdr:twoCellAnchor>
  <xdr:twoCellAnchor>
    <xdr:from>
      <xdr:col>0</xdr:col>
      <xdr:colOff>600075</xdr:colOff>
      <xdr:row>10</xdr:row>
      <xdr:rowOff>171450</xdr:rowOff>
    </xdr:from>
    <xdr:to>
      <xdr:col>8</xdr:col>
      <xdr:colOff>9525</xdr:colOff>
      <xdr:row>13</xdr:row>
      <xdr:rowOff>95250</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600075" y="3743325"/>
          <a:ext cx="6429375" cy="495300"/>
        </a:xfrm>
        <a:prstGeom prst="rect">
          <a:avLst/>
        </a:prstGeom>
        <a:solidFill>
          <a:srgbClr val="CCEC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How much impact does the following variable have on the output?  Use a scale of 1 to 10, where the number 1 represents little impact and the number 10 represents considerable impact. </a:t>
          </a:r>
        </a:p>
      </xdr:txBody>
    </xdr:sp>
    <xdr:clientData/>
  </xdr:twoCellAnchor>
  <xdr:twoCellAnchor>
    <xdr:from>
      <xdr:col>1</xdr:col>
      <xdr:colOff>152400</xdr:colOff>
      <xdr:row>24</xdr:row>
      <xdr:rowOff>180975</xdr:rowOff>
    </xdr:from>
    <xdr:to>
      <xdr:col>8</xdr:col>
      <xdr:colOff>171450</xdr:colOff>
      <xdr:row>27</xdr:row>
      <xdr:rowOff>104775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762000" y="4895850"/>
          <a:ext cx="6429375" cy="495300"/>
        </a:xfrm>
        <a:prstGeom prst="rect">
          <a:avLst/>
        </a:prstGeom>
        <a:solidFill>
          <a:srgbClr val="CCEC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On a scale of 1 to 10,</a:t>
          </a:r>
          <a:r>
            <a:rPr lang="en-US" sz="1100" baseline="0"/>
            <a:t> how important is the output variable in achieving process objectives? THe number 1 suggests the output variable is not very important, while the number 10 suggests it is very important.</a:t>
          </a:r>
          <a:endParaRPr lang="en-US" sz="1100"/>
        </a:p>
      </xdr:txBody>
    </xdr:sp>
    <xdr:clientData/>
  </xdr:twoCellAnchor>
  <xdr:twoCellAnchor>
    <xdr:from>
      <xdr:col>8</xdr:col>
      <xdr:colOff>57150</xdr:colOff>
      <xdr:row>1</xdr:row>
      <xdr:rowOff>0</xdr:rowOff>
    </xdr:from>
    <xdr:to>
      <xdr:col>15</xdr:col>
      <xdr:colOff>323850</xdr:colOff>
      <xdr:row>14</xdr:row>
      <xdr:rowOff>161926</xdr:rowOff>
    </xdr:to>
    <xdr:sp macro="" textlink="">
      <xdr:nvSpPr>
        <xdr:cNvPr id="8" name="TextBox 7">
          <a:extLst>
            <a:ext uri="{FF2B5EF4-FFF2-40B4-BE49-F238E27FC236}">
              <a16:creationId xmlns:a16="http://schemas.microsoft.com/office/drawing/2014/main" id="{2CC8040F-3777-44AF-9EBB-60183BAF97A8}"/>
            </a:ext>
          </a:extLst>
        </xdr:cNvPr>
        <xdr:cNvSpPr txBox="1"/>
      </xdr:nvSpPr>
      <xdr:spPr>
        <a:xfrm>
          <a:off x="7077075" y="333375"/>
          <a:ext cx="5105400" cy="2638426"/>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Processes</a:t>
          </a:r>
          <a:r>
            <a:rPr lang="en-US" sz="1100" baseline="0"/>
            <a:t> have inputs (X) and outputs (Y). When undertaking process analysis with the intention of improving process output, it is very important to begin by identifying all process inputs and outputs.  Next an X-Y  Matrix is built to determine how much each input impacts process output.  Those that impact output the most would be targets for a process improvement project.</a:t>
          </a:r>
        </a:p>
        <a:p>
          <a:endParaRPr lang="en-US" sz="1100" baseline="0"/>
        </a:p>
        <a:p>
          <a:r>
            <a:rPr lang="en-US" sz="1100" baseline="0"/>
            <a:t>The X-Y matrix is a model that helps organize this effort. It identifies inputs down the first column and outputs across the top row. Then it compares the impact of these inputs on process output.</a:t>
          </a:r>
          <a:endParaRPr lang="en-US" sz="1100" b="1" baseline="0"/>
        </a:p>
        <a:p>
          <a:endParaRPr lang="en-US" sz="1100" baseline="0"/>
        </a:p>
        <a:p>
          <a:r>
            <a:rPr lang="en-US" sz="1100" baseline="0"/>
            <a:t>Including an X-Y matrix in a project proposal, either in the Business Plan or Project Charter, provides significant credibility to the substance of the proposal.</a:t>
          </a:r>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3C97E-757C-4AF3-AD71-413E61A2AB53}">
  <sheetPr codeName="Sheet4"/>
  <dimension ref="A1:K54"/>
  <sheetViews>
    <sheetView showGridLines="0" showRowColHeaders="0" tabSelected="1" workbookViewId="0">
      <selection activeCell="J42" sqref="J42"/>
    </sheetView>
  </sheetViews>
  <sheetFormatPr defaultRowHeight="15" x14ac:dyDescent="0.25"/>
  <cols>
    <col min="1" max="2" width="9.140625" style="1"/>
    <col min="3" max="3" width="19.140625" style="1" customWidth="1"/>
    <col min="4" max="4" width="14.5703125" style="1" customWidth="1"/>
    <col min="5" max="5" width="13.7109375" style="1" customWidth="1"/>
    <col min="6" max="6" width="12.85546875" style="1" customWidth="1"/>
    <col min="7" max="7" width="13.5703125" style="1" customWidth="1"/>
    <col min="8" max="8" width="13.140625" style="1" customWidth="1"/>
    <col min="9" max="9" width="13.28515625" style="1" customWidth="1"/>
    <col min="10" max="10" width="13.5703125" style="1" customWidth="1"/>
    <col min="11" max="16384" width="9.140625" style="1"/>
  </cols>
  <sheetData>
    <row r="1" spans="1:9" ht="26.25" x14ac:dyDescent="0.4">
      <c r="B1" s="2"/>
      <c r="D1" s="3"/>
      <c r="E1" s="4" t="s">
        <v>0</v>
      </c>
      <c r="F1" s="3"/>
    </row>
    <row r="2" spans="1:9" ht="15" customHeight="1" x14ac:dyDescent="0.4">
      <c r="A2" s="5"/>
      <c r="B2" s="2"/>
    </row>
    <row r="3" spans="1:9" ht="15" customHeight="1" x14ac:dyDescent="0.4">
      <c r="A3" s="5"/>
      <c r="B3" s="2"/>
    </row>
    <row r="4" spans="1:9" x14ac:dyDescent="0.25">
      <c r="C4" s="17" t="s">
        <v>17</v>
      </c>
      <c r="D4" s="2"/>
      <c r="F4" s="17" t="s">
        <v>18</v>
      </c>
      <c r="G4" s="2"/>
      <c r="I4" s="2"/>
    </row>
    <row r="5" spans="1:9" x14ac:dyDescent="0.25">
      <c r="C5" s="1" t="s">
        <v>3</v>
      </c>
      <c r="D5" s="6" t="s">
        <v>20</v>
      </c>
      <c r="F5" s="1" t="s">
        <v>7</v>
      </c>
      <c r="G5" s="6" t="s">
        <v>16</v>
      </c>
      <c r="I5" s="2"/>
    </row>
    <row r="6" spans="1:9" x14ac:dyDescent="0.25">
      <c r="C6" s="1" t="s">
        <v>4</v>
      </c>
      <c r="D6" s="6" t="s">
        <v>21</v>
      </c>
      <c r="F6" s="1" t="s">
        <v>8</v>
      </c>
      <c r="G6" s="6" t="s">
        <v>23</v>
      </c>
    </row>
    <row r="7" spans="1:9" x14ac:dyDescent="0.25">
      <c r="C7" s="1" t="s">
        <v>6</v>
      </c>
      <c r="D7" s="6" t="s">
        <v>22</v>
      </c>
      <c r="F7" s="1" t="s">
        <v>9</v>
      </c>
      <c r="G7" s="6" t="s">
        <v>26</v>
      </c>
    </row>
    <row r="8" spans="1:9" x14ac:dyDescent="0.25">
      <c r="C8" s="1" t="s">
        <v>5</v>
      </c>
      <c r="D8" s="8" t="s">
        <v>25</v>
      </c>
      <c r="F8" s="1" t="s">
        <v>10</v>
      </c>
      <c r="G8" s="6" t="s">
        <v>24</v>
      </c>
    </row>
    <row r="15" spans="1:9" x14ac:dyDescent="0.25">
      <c r="B15" s="17" t="s">
        <v>11</v>
      </c>
      <c r="C15" s="18" t="s">
        <v>12</v>
      </c>
      <c r="D15" s="7" t="s">
        <v>13</v>
      </c>
      <c r="F15" s="18" t="s">
        <v>11</v>
      </c>
      <c r="G15" s="17" t="s">
        <v>12</v>
      </c>
      <c r="H15" s="7"/>
    </row>
    <row r="16" spans="1:9" x14ac:dyDescent="0.25">
      <c r="B16" s="1" t="str">
        <f>IF(D5="","",D5)</f>
        <v>Materials</v>
      </c>
      <c r="C16" s="1" t="str">
        <f>IF($G$5="","",$G$5)</f>
        <v>Returns</v>
      </c>
      <c r="D16" s="8">
        <v>4</v>
      </c>
      <c r="F16" s="1" t="str">
        <f t="shared" ref="F16:F18" si="0">IF($D$7="","",$D$7)</f>
        <v>Stitching</v>
      </c>
      <c r="G16" s="1" t="str">
        <f>IF($G$5="","",$G$5)</f>
        <v>Returns</v>
      </c>
      <c r="H16" s="8">
        <v>4</v>
      </c>
    </row>
    <row r="17" spans="2:8" x14ac:dyDescent="0.25">
      <c r="B17" s="1" t="str">
        <f>IF(D5="","",D5)</f>
        <v>Materials</v>
      </c>
      <c r="C17" s="1" t="str">
        <f>IF($G$6="","",$G$6)</f>
        <v>Satisfaction</v>
      </c>
      <c r="D17" s="8">
        <v>5</v>
      </c>
      <c r="F17" s="1" t="str">
        <f t="shared" si="0"/>
        <v>Stitching</v>
      </c>
      <c r="G17" s="1" t="str">
        <f>IF($G$6="","",$G$6)</f>
        <v>Satisfaction</v>
      </c>
      <c r="H17" s="8">
        <v>3</v>
      </c>
    </row>
    <row r="18" spans="2:8" x14ac:dyDescent="0.25">
      <c r="B18" s="1" t="str">
        <f>IF(D5="","",D5)</f>
        <v>Materials</v>
      </c>
      <c r="C18" s="1" t="str">
        <f>IF($G$7="","",$G$7)</f>
        <v>Return Cost</v>
      </c>
      <c r="D18" s="8">
        <v>6</v>
      </c>
      <c r="F18" s="1" t="str">
        <f t="shared" si="0"/>
        <v>Stitching</v>
      </c>
      <c r="G18" s="1" t="str">
        <f>IF($G$7="","",$G$7)</f>
        <v>Return Cost</v>
      </c>
      <c r="H18" s="8">
        <v>4</v>
      </c>
    </row>
    <row r="19" spans="2:8" x14ac:dyDescent="0.25">
      <c r="B19" s="1" t="str">
        <f>IF(D5="","",D5)</f>
        <v>Materials</v>
      </c>
      <c r="C19" s="1" t="str">
        <f>IF($G$8="","",$G$8)</f>
        <v>Image</v>
      </c>
      <c r="D19" s="8">
        <v>8</v>
      </c>
      <c r="F19" s="1" t="str">
        <f>IF($D$7="","",$D$7)</f>
        <v>Stitching</v>
      </c>
      <c r="G19" s="1" t="str">
        <f>IF($G$8="","",$G$8)</f>
        <v>Image</v>
      </c>
      <c r="H19" s="8">
        <v>7</v>
      </c>
    </row>
    <row r="20" spans="2:8" x14ac:dyDescent="0.25">
      <c r="B20" s="1" t="str">
        <f>IF(D6="","",D6)</f>
        <v>Bonding</v>
      </c>
      <c r="C20" s="1" t="str">
        <f>IF($G$5="","",$G$5)</f>
        <v>Returns</v>
      </c>
      <c r="D20" s="8">
        <v>9</v>
      </c>
      <c r="F20" s="7" t="str">
        <f>IF($D$8="","",$D$8)</f>
        <v>-</v>
      </c>
      <c r="G20" s="1" t="str">
        <f>IF($G$5="","",$G$5)</f>
        <v>Returns</v>
      </c>
      <c r="H20" s="8"/>
    </row>
    <row r="21" spans="2:8" x14ac:dyDescent="0.25">
      <c r="B21" s="1" t="str">
        <f>IF(D6="","",D6)</f>
        <v>Bonding</v>
      </c>
      <c r="C21" s="1" t="str">
        <f>IF($G$6="","",$G$6)</f>
        <v>Satisfaction</v>
      </c>
      <c r="D21" s="8">
        <v>8</v>
      </c>
      <c r="F21" s="7" t="str">
        <f t="shared" ref="F21:F23" si="1">IF($D$8="","",$D$8)</f>
        <v>-</v>
      </c>
      <c r="G21" s="1" t="str">
        <f>IF($G$6="","",$G$6)</f>
        <v>Satisfaction</v>
      </c>
      <c r="H21" s="8"/>
    </row>
    <row r="22" spans="2:8" x14ac:dyDescent="0.25">
      <c r="B22" s="1" t="str">
        <f>IF(D6="","",D6)</f>
        <v>Bonding</v>
      </c>
      <c r="C22" s="1" t="str">
        <f>IF($G$7="","",$G$7)</f>
        <v>Return Cost</v>
      </c>
      <c r="D22" s="8">
        <v>7</v>
      </c>
      <c r="F22" s="7" t="str">
        <f t="shared" si="1"/>
        <v>-</v>
      </c>
      <c r="G22" s="1" t="str">
        <f>IF($G$7="","",$G$7)</f>
        <v>Return Cost</v>
      </c>
      <c r="H22" s="8"/>
    </row>
    <row r="23" spans="2:8" x14ac:dyDescent="0.25">
      <c r="B23" s="1" t="str">
        <f>IF(D6="","",D6)</f>
        <v>Bonding</v>
      </c>
      <c r="C23" s="1" t="str">
        <f>IF($G$8="","",$G$8)</f>
        <v>Image</v>
      </c>
      <c r="D23" s="8">
        <v>6</v>
      </c>
      <c r="F23" s="7" t="str">
        <f t="shared" si="1"/>
        <v>-</v>
      </c>
      <c r="G23" s="1" t="str">
        <f>IF($G$8="","",$G$8)</f>
        <v>Image</v>
      </c>
      <c r="H23" s="8"/>
    </row>
    <row r="29" spans="2:8" x14ac:dyDescent="0.25">
      <c r="E29" s="19" t="s">
        <v>12</v>
      </c>
      <c r="F29" s="19" t="s">
        <v>15</v>
      </c>
    </row>
    <row r="30" spans="2:8" x14ac:dyDescent="0.25">
      <c r="E30" s="9" t="str">
        <f>IF(G5="","",G5)</f>
        <v>Returns</v>
      </c>
      <c r="F30" s="6">
        <v>5</v>
      </c>
    </row>
    <row r="31" spans="2:8" x14ac:dyDescent="0.25">
      <c r="E31" s="9" t="str">
        <f>IF(G6="","",G6)</f>
        <v>Satisfaction</v>
      </c>
      <c r="F31" s="6">
        <v>9</v>
      </c>
    </row>
    <row r="32" spans="2:8" x14ac:dyDescent="0.25">
      <c r="E32" s="9" t="str">
        <f t="shared" ref="E32:E33" si="2">IF(G7="","",G7)</f>
        <v>Return Cost</v>
      </c>
      <c r="F32" s="6">
        <v>9</v>
      </c>
    </row>
    <row r="33" spans="3:11" x14ac:dyDescent="0.25">
      <c r="E33" s="9" t="str">
        <f t="shared" si="2"/>
        <v>Image</v>
      </c>
      <c r="F33" s="6">
        <v>8</v>
      </c>
      <c r="H33" s="2"/>
      <c r="I33" s="2"/>
      <c r="J33" s="2"/>
      <c r="K33" s="2"/>
    </row>
    <row r="34" spans="3:11" x14ac:dyDescent="0.25">
      <c r="H34" s="10"/>
      <c r="I34" s="10"/>
      <c r="J34" s="11"/>
      <c r="K34" s="2"/>
    </row>
    <row r="35" spans="3:11" x14ac:dyDescent="0.25">
      <c r="D35" s="10"/>
      <c r="G35" s="10"/>
      <c r="H35" s="10"/>
      <c r="I35" s="10"/>
      <c r="J35" s="11"/>
      <c r="K35" s="2"/>
    </row>
    <row r="36" spans="3:11" x14ac:dyDescent="0.25">
      <c r="D36" s="10"/>
      <c r="E36" s="10"/>
      <c r="F36" s="10"/>
      <c r="G36" s="10"/>
      <c r="H36" s="10"/>
      <c r="I36" s="10"/>
      <c r="J36" s="11"/>
      <c r="K36" s="2"/>
    </row>
    <row r="37" spans="3:11" x14ac:dyDescent="0.25">
      <c r="E37" s="12" t="s">
        <v>19</v>
      </c>
      <c r="F37" s="12"/>
      <c r="H37" s="10"/>
      <c r="I37" s="10"/>
      <c r="J37" s="11"/>
      <c r="K37" s="2"/>
    </row>
    <row r="38" spans="3:11" x14ac:dyDescent="0.25">
      <c r="D38" s="14">
        <f>F30</f>
        <v>5</v>
      </c>
      <c r="E38" s="14">
        <f>F31</f>
        <v>9</v>
      </c>
      <c r="F38" s="14">
        <f>F32</f>
        <v>9</v>
      </c>
      <c r="G38" s="14">
        <f>F33</f>
        <v>8</v>
      </c>
      <c r="H38" s="10"/>
      <c r="I38" s="10"/>
      <c r="J38" s="11"/>
      <c r="K38" s="2"/>
    </row>
    <row r="39" spans="3:11" x14ac:dyDescent="0.25">
      <c r="D39" s="10"/>
      <c r="E39" s="10"/>
      <c r="F39" s="10"/>
      <c r="G39" s="10"/>
      <c r="H39" s="10"/>
      <c r="I39" s="10"/>
      <c r="J39" s="11"/>
      <c r="K39" s="2"/>
    </row>
    <row r="40" spans="3:11" x14ac:dyDescent="0.25">
      <c r="F40" s="20" t="s">
        <v>2</v>
      </c>
      <c r="H40" s="11"/>
      <c r="I40" s="11"/>
      <c r="J40" s="11"/>
      <c r="K40" s="2"/>
    </row>
    <row r="41" spans="3:11" x14ac:dyDescent="0.25">
      <c r="C41" s="20" t="s">
        <v>1</v>
      </c>
      <c r="D41" s="7" t="str">
        <f>IF(G5="","",G5)</f>
        <v>Returns</v>
      </c>
      <c r="E41" s="7" t="str">
        <f>IF(G6="","",G6)</f>
        <v>Satisfaction</v>
      </c>
      <c r="F41" s="7" t="str">
        <f>IF(G7="","",G7)</f>
        <v>Return Cost</v>
      </c>
      <c r="G41" s="7" t="str">
        <f>IF(G8="","",G8)</f>
        <v>Image</v>
      </c>
      <c r="H41" s="10" t="s">
        <v>14</v>
      </c>
      <c r="I41" s="11"/>
      <c r="J41" s="11"/>
      <c r="K41" s="2"/>
    </row>
    <row r="42" spans="3:11" x14ac:dyDescent="0.25">
      <c r="C42" s="13" t="str">
        <f>IF(D5="","",D5)</f>
        <v>Materials</v>
      </c>
      <c r="D42" s="15">
        <f>D16</f>
        <v>4</v>
      </c>
      <c r="E42" s="15">
        <f>D17</f>
        <v>5</v>
      </c>
      <c r="F42" s="15">
        <f>D18</f>
        <v>6</v>
      </c>
      <c r="G42" s="15">
        <f>D19</f>
        <v>8</v>
      </c>
      <c r="H42" s="16">
        <f>$D$38*D42+$E$38*E42+$F$38*F42+$G$38*G42</f>
        <v>183</v>
      </c>
      <c r="I42" s="10"/>
      <c r="J42" s="11"/>
      <c r="K42" s="2"/>
    </row>
    <row r="43" spans="3:11" ht="15.75" x14ac:dyDescent="0.25">
      <c r="C43" s="13" t="str">
        <f>IF(D6="","",D6)</f>
        <v>Bonding</v>
      </c>
      <c r="D43" s="15">
        <f>D20</f>
        <v>9</v>
      </c>
      <c r="E43" s="15">
        <f>D21</f>
        <v>8</v>
      </c>
      <c r="F43" s="15">
        <f>D22</f>
        <v>7</v>
      </c>
      <c r="G43" s="15">
        <f>D23</f>
        <v>6</v>
      </c>
      <c r="H43" s="22">
        <f>$D$38*D43+$E$38*E43+$F$38*F43+$G$38*G43</f>
        <v>228</v>
      </c>
      <c r="I43" s="10"/>
      <c r="J43" s="11"/>
      <c r="K43" s="2"/>
    </row>
    <row r="44" spans="3:11" x14ac:dyDescent="0.25">
      <c r="C44" s="1" t="str">
        <f>IF(D7="","",D7)</f>
        <v>Stitching</v>
      </c>
      <c r="D44" s="15">
        <f>H16</f>
        <v>4</v>
      </c>
      <c r="E44" s="15">
        <f>H17</f>
        <v>3</v>
      </c>
      <c r="F44" s="15">
        <f>H18</f>
        <v>4</v>
      </c>
      <c r="G44" s="15">
        <f>H19</f>
        <v>7</v>
      </c>
      <c r="H44" s="16">
        <f>$D$38*D44+$E$38*E44+$F$38*F44+$G$38*G44</f>
        <v>139</v>
      </c>
      <c r="I44" s="10"/>
      <c r="J44" s="11"/>
      <c r="K44" s="2"/>
    </row>
    <row r="45" spans="3:11" x14ac:dyDescent="0.25">
      <c r="C45" s="1" t="str">
        <f>IF(D8="","",D8)</f>
        <v>-</v>
      </c>
      <c r="D45" s="15">
        <f>H20</f>
        <v>0</v>
      </c>
      <c r="E45" s="15">
        <f>H21</f>
        <v>0</v>
      </c>
      <c r="F45" s="15">
        <f>H22</f>
        <v>0</v>
      </c>
      <c r="G45" s="15">
        <f>H23</f>
        <v>0</v>
      </c>
      <c r="H45" s="16">
        <f>$D$38*D45+$E$38*E45+$F$38*F45+$G$38*G45</f>
        <v>0</v>
      </c>
      <c r="I45" s="10"/>
      <c r="J45" s="11"/>
      <c r="K45" s="2"/>
    </row>
    <row r="46" spans="3:11" x14ac:dyDescent="0.25">
      <c r="H46" s="2"/>
      <c r="I46" s="2"/>
      <c r="J46" s="2"/>
      <c r="K46" s="2"/>
    </row>
    <row r="54" spans="3:3" x14ac:dyDescent="0.25">
      <c r="C54" s="21"/>
    </row>
  </sheetData>
  <sheetProtection selectLockedCells="1"/>
  <pageMargins left="0.7" right="0.7" top="0.75" bottom="0.75" header="0.3" footer="0.3"/>
  <pageSetup orientation="landscape"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X-Y Matrix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bshore</dc:creator>
  <cp:lastModifiedBy>Raj Thopte</cp:lastModifiedBy>
  <cp:lastPrinted>2018-04-23T13:52:35Z</cp:lastPrinted>
  <dcterms:created xsi:type="dcterms:W3CDTF">2018-04-03T14:02:08Z</dcterms:created>
  <dcterms:modified xsi:type="dcterms:W3CDTF">2021-01-21T05:09:56Z</dcterms:modified>
</cp:coreProperties>
</file>